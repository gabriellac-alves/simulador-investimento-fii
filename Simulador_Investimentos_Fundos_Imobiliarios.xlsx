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\Desktop\DIO\Excel\Projeto\"/>
    </mc:Choice>
  </mc:AlternateContent>
  <xr:revisionPtr revIDLastSave="0" documentId="13_ncr:1_{08D1C8E4-B669-491A-BBCB-42E49764F1BB}" xr6:coauthVersionLast="47" xr6:coauthVersionMax="47" xr10:uidLastSave="{00000000-0000-0000-0000-000000000000}"/>
  <bookViews>
    <workbookView xWindow="-120" yWindow="-120" windowWidth="20730" windowHeight="11040" tabRatio="217" firstSheet="1" activeTab="1" xr2:uid="{00000000-000D-0000-FFFF-FFFF00000000}"/>
  </bookViews>
  <sheets>
    <sheet name="APP" sheetId="1" r:id="rId1"/>
    <sheet name="DATABASE" sheetId="2" r:id="rId2"/>
  </sheets>
  <definedNames>
    <definedName name="aporte">APP!$D$17</definedName>
    <definedName name="dividendo">APP!$D$21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6" i="1"/>
  <c r="C10" i="2"/>
  <c r="C4" i="2"/>
  <c r="C5" i="2"/>
  <c r="C6" i="2"/>
  <c r="C7" i="2"/>
  <c r="C8" i="2"/>
  <c r="C9" i="2"/>
  <c r="C11" i="2"/>
  <c r="C12" i="2"/>
  <c r="C13" i="2"/>
  <c r="C14" i="2"/>
  <c r="C15" i="2"/>
  <c r="C16" i="2"/>
  <c r="C17" i="2"/>
  <c r="C18" i="2"/>
  <c r="C19" i="2"/>
  <c r="C20" i="2"/>
  <c r="C3" i="2"/>
  <c r="D14" i="1"/>
  <c r="D20" i="1"/>
  <c r="D21" i="1" s="1"/>
  <c r="C39" i="1" l="1"/>
  <c r="C37" i="1"/>
  <c r="D37" i="1" s="1"/>
  <c r="C40" i="1"/>
  <c r="D40" i="1" s="1"/>
  <c r="I2" i="2"/>
  <c r="C41" i="1"/>
  <c r="D41" i="1" s="1"/>
  <c r="C38" i="1"/>
  <c r="D38" i="1" s="1"/>
  <c r="D39" i="1"/>
  <c r="D36" i="1"/>
  <c r="D42" i="1" l="1"/>
  <c r="C25" i="1"/>
  <c r="D25" i="1" s="1"/>
  <c r="C26" i="1"/>
  <c r="D26" i="1" s="1"/>
  <c r="C27" i="1"/>
  <c r="D27" i="1" s="1"/>
  <c r="C28" i="1"/>
  <c r="D28" i="1" s="1"/>
  <c r="C24" i="1"/>
  <c r="D24" i="1" s="1"/>
</calcChain>
</file>

<file path=xl/sharedStrings.xml><?xml version="1.0" encoding="utf-8"?>
<sst xmlns="http://schemas.openxmlformats.org/spreadsheetml/2006/main" count="70" uniqueCount="34">
  <si>
    <t>INVESTIMENTO MENSAL</t>
  </si>
  <si>
    <t>Cenários</t>
  </si>
  <si>
    <t>Dividendo</t>
  </si>
  <si>
    <t>Salário</t>
  </si>
  <si>
    <t>Rendimento Cateira</t>
  </si>
  <si>
    <t>Sugestão de Investimento (30%)</t>
  </si>
  <si>
    <t>CONFIGURAÇÕES</t>
  </si>
  <si>
    <t>Conservador</t>
  </si>
  <si>
    <t>Agressivo</t>
  </si>
  <si>
    <t>Moderado</t>
  </si>
  <si>
    <t>PERFIL</t>
  </si>
  <si>
    <t>VALOR A SER INVESTIDO POR MÊS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</si>
  <si>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</si>
  <si>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</si>
  <si>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</si>
  <si>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</si>
  <si>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</si>
  <si>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</si>
  <si>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</si>
  <si>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</si>
  <si>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Quanto investir por mês ?</t>
  </si>
  <si>
    <t>Por quantos anos ?</t>
  </si>
  <si>
    <t>Taxa de rendimento mensal ?</t>
  </si>
  <si>
    <t>Patrimônio acumulado ?</t>
  </si>
  <si>
    <t>Dividendos mensais ?</t>
  </si>
  <si>
    <t>Quanto em 2 anos ?</t>
  </si>
  <si>
    <t>Quanto em 5 anos ?</t>
  </si>
  <si>
    <t>Quanto em 10 anos ?</t>
  </si>
  <si>
    <t>Quanto em 20 anos ?</t>
  </si>
  <si>
    <t>Quanto em 30 anos ?</t>
  </si>
  <si>
    <t>TIPO DE FII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</si>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</sst>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Aptos Narrow"/>
      <family val="2"/>
    </font>
    <font>
      <b/>
      <sz val="18"/>
      <color theme="0"/>
      <name val="Segoe UI Semibold"/>
      <family val="2"/>
    </font>
    <font>
      <b/>
      <sz val="12"/>
      <color theme="0"/>
      <name val="Segoe UI Semibold"/>
      <family val="2"/>
    </font>
    <font>
      <sz val="11"/>
      <color theme="1"/>
      <name val="Aptos Narrow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/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34998626667073579"/>
      </right>
      <top style="medium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4" fillId="4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0" fontId="6" fillId="0" borderId="0" xfId="0" applyFont="1"/>
    <xf numFmtId="0" fontId="2" fillId="2" borderId="0" xfId="3"/>
    <xf numFmtId="0" fontId="7" fillId="5" borderId="0" xfId="0" applyFont="1" applyFill="1"/>
    <xf numFmtId="0" fontId="10" fillId="5" borderId="0" xfId="0" applyFont="1" applyFill="1"/>
    <xf numFmtId="164" fontId="7" fillId="5" borderId="0" xfId="1" applyNumberFormat="1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3" borderId="10" xfId="0" applyFont="1" applyFill="1" applyBorder="1" applyAlignment="1">
      <alignment horizontal="left" indent="2"/>
    </xf>
    <xf numFmtId="8" fontId="11" fillId="3" borderId="11" xfId="0" applyNumberFormat="1" applyFont="1" applyFill="1" applyBorder="1" applyAlignment="1">
      <alignment horizontal="center" vertical="center"/>
    </xf>
    <xf numFmtId="8" fontId="11" fillId="3" borderId="12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indent="2"/>
    </xf>
    <xf numFmtId="8" fontId="11" fillId="3" borderId="14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left" indent="2"/>
    </xf>
    <xf numFmtId="8" fontId="11" fillId="3" borderId="16" xfId="0" applyNumberFormat="1" applyFont="1" applyFill="1" applyBorder="1" applyAlignment="1">
      <alignment horizontal="center" vertical="center"/>
    </xf>
    <xf numFmtId="8" fontId="11" fillId="3" borderId="17" xfId="0" applyNumberFormat="1" applyFont="1" applyFill="1" applyBorder="1" applyAlignment="1">
      <alignment horizontal="center" vertical="center"/>
    </xf>
    <xf numFmtId="164" fontId="11" fillId="0" borderId="2" xfId="1" applyNumberFormat="1" applyFont="1" applyBorder="1" applyAlignment="1">
      <alignment horizontal="center"/>
    </xf>
    <xf numFmtId="10" fontId="11" fillId="0" borderId="4" xfId="0" applyNumberFormat="1" applyFont="1" applyBorder="1" applyAlignment="1">
      <alignment horizontal="center"/>
    </xf>
    <xf numFmtId="164" fontId="11" fillId="5" borderId="6" xfId="1" applyNumberFormat="1" applyFont="1" applyFill="1" applyBorder="1" applyAlignment="1">
      <alignment horizontal="center"/>
    </xf>
    <xf numFmtId="164" fontId="12" fillId="0" borderId="23" xfId="1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10" fontId="12" fillId="0" borderId="8" xfId="0" applyNumberFormat="1" applyFont="1" applyBorder="1" applyAlignment="1">
      <alignment horizontal="center"/>
    </xf>
    <xf numFmtId="8" fontId="12" fillId="3" borderId="33" xfId="0" applyNumberFormat="1" applyFont="1" applyFill="1" applyBorder="1" applyAlignment="1">
      <alignment horizontal="center"/>
    </xf>
    <xf numFmtId="8" fontId="12" fillId="3" borderId="29" xfId="0" applyNumberFormat="1" applyFont="1" applyFill="1" applyBorder="1" applyAlignment="1">
      <alignment horizontal="center"/>
    </xf>
    <xf numFmtId="9" fontId="10" fillId="0" borderId="0" xfId="0" applyNumberFormat="1" applyFont="1" applyAlignment="1">
      <alignment horizontal="center" vertical="center"/>
    </xf>
    <xf numFmtId="164" fontId="7" fillId="6" borderId="0" xfId="1" applyNumberFormat="1" applyFont="1" applyFill="1" applyAlignment="1">
      <alignment horizontal="center"/>
    </xf>
    <xf numFmtId="0" fontId="3" fillId="7" borderId="0" xfId="0" applyFont="1" applyFill="1"/>
    <xf numFmtId="164" fontId="10" fillId="5" borderId="0" xfId="0" applyNumberFormat="1" applyFont="1" applyFill="1" applyAlignment="1">
      <alignment horizontal="center" vertical="center"/>
    </xf>
    <xf numFmtId="0" fontId="0" fillId="0" borderId="9" xfId="0" applyBorder="1"/>
    <xf numFmtId="0" fontId="10" fillId="0" borderId="9" xfId="0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9" borderId="0" xfId="0" applyFill="1"/>
    <xf numFmtId="0" fontId="10" fillId="9" borderId="0" xfId="0" applyFont="1" applyFill="1" applyAlignment="1">
      <alignment horizontal="center" vertical="center"/>
    </xf>
    <xf numFmtId="9" fontId="0" fillId="9" borderId="0" xfId="0" applyNumberFormat="1" applyFill="1" applyAlignment="1">
      <alignment horizontal="center"/>
    </xf>
    <xf numFmtId="9" fontId="0" fillId="8" borderId="0" xfId="2" applyFont="1" applyFill="1"/>
    <xf numFmtId="0" fontId="11" fillId="5" borderId="3" xfId="0" applyFont="1" applyFill="1" applyBorder="1" applyAlignment="1">
      <alignment horizontal="left" indent="2"/>
    </xf>
    <xf numFmtId="0" fontId="11" fillId="5" borderId="20" xfId="0" applyFont="1" applyFill="1" applyBorder="1" applyAlignment="1">
      <alignment horizontal="left" indent="2"/>
    </xf>
    <xf numFmtId="0" fontId="11" fillId="5" borderId="5" xfId="0" applyFont="1" applyFill="1" applyBorder="1" applyAlignment="1">
      <alignment horizontal="left" indent="2"/>
    </xf>
    <xf numFmtId="0" fontId="11" fillId="5" borderId="22" xfId="0" applyFont="1" applyFill="1" applyBorder="1" applyAlignment="1">
      <alignment horizontal="left" indent="2"/>
    </xf>
    <xf numFmtId="0" fontId="11" fillId="5" borderId="1" xfId="0" applyFont="1" applyFill="1" applyBorder="1" applyAlignment="1">
      <alignment horizontal="left" indent="2"/>
    </xf>
    <xf numFmtId="0" fontId="11" fillId="5" borderId="30" xfId="0" applyFont="1" applyFill="1" applyBorder="1" applyAlignment="1">
      <alignment horizontal="left" indent="2"/>
    </xf>
    <xf numFmtId="0" fontId="11" fillId="5" borderId="18" xfId="0" applyFont="1" applyFill="1" applyBorder="1" applyAlignment="1">
      <alignment horizontal="left" wrapText="1" indent="2"/>
    </xf>
    <xf numFmtId="0" fontId="11" fillId="5" borderId="19" xfId="0" applyFont="1" applyFill="1" applyBorder="1" applyAlignment="1">
      <alignment horizontal="left" wrapText="1" indent="2"/>
    </xf>
    <xf numFmtId="0" fontId="11" fillId="5" borderId="7" xfId="0" applyFont="1" applyFill="1" applyBorder="1" applyAlignment="1">
      <alignment horizontal="left" indent="2"/>
    </xf>
    <xf numFmtId="0" fontId="11" fillId="5" borderId="21" xfId="0" applyFont="1" applyFill="1" applyBorder="1" applyAlignment="1">
      <alignment horizontal="left" indent="2"/>
    </xf>
    <xf numFmtId="0" fontId="12" fillId="3" borderId="31" xfId="0" applyFont="1" applyFill="1" applyBorder="1" applyAlignment="1">
      <alignment horizontal="left" indent="2"/>
    </xf>
    <xf numFmtId="0" fontId="12" fillId="3" borderId="32" xfId="0" applyFont="1" applyFill="1" applyBorder="1" applyAlignment="1">
      <alignment horizontal="left" indent="2"/>
    </xf>
    <xf numFmtId="0" fontId="12" fillId="3" borderId="27" xfId="0" applyFont="1" applyFill="1" applyBorder="1" applyAlignment="1">
      <alignment horizontal="left" indent="2"/>
    </xf>
    <xf numFmtId="0" fontId="12" fillId="3" borderId="28" xfId="0" applyFont="1" applyFill="1" applyBorder="1" applyAlignment="1">
      <alignment horizontal="left" indent="2"/>
    </xf>
    <xf numFmtId="0" fontId="8" fillId="10" borderId="24" xfId="0" applyFont="1" applyFill="1" applyBorder="1" applyAlignment="1">
      <alignment horizontal="left" vertical="center" indent="1"/>
    </xf>
    <xf numFmtId="0" fontId="8" fillId="10" borderId="25" xfId="0" applyFont="1" applyFill="1" applyBorder="1" applyAlignment="1">
      <alignment horizontal="left" vertical="center" indent="1"/>
    </xf>
    <xf numFmtId="0" fontId="5" fillId="10" borderId="26" xfId="0" applyFont="1" applyFill="1" applyBorder="1" applyAlignment="1">
      <alignment vertical="center"/>
    </xf>
    <xf numFmtId="0" fontId="8" fillId="11" borderId="24" xfId="0" applyFont="1" applyFill="1" applyBorder="1" applyAlignment="1">
      <alignment horizontal="left" vertical="center" indent="1"/>
    </xf>
    <xf numFmtId="0" fontId="8" fillId="11" borderId="25" xfId="0" applyFont="1" applyFill="1" applyBorder="1" applyAlignment="1">
      <alignment horizontal="left" vertical="center" indent="1"/>
    </xf>
    <xf numFmtId="0" fontId="5" fillId="11" borderId="26" xfId="0" applyFont="1" applyFill="1" applyBorder="1" applyAlignment="1">
      <alignment vertical="center"/>
    </xf>
    <xf numFmtId="0" fontId="9" fillId="11" borderId="26" xfId="0" applyFont="1" applyFill="1" applyBorder="1" applyAlignment="1">
      <alignment horizontal="center" vertical="center"/>
    </xf>
    <xf numFmtId="0" fontId="13" fillId="12" borderId="0" xfId="3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8A-4448-80A3-6F4BB983B6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8A-4448-80A3-6F4BB983B6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8A-4448-80A3-6F4BB983B6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8A-4448-80A3-6F4BB983B6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C8A-4448-80A3-6F4BB983B6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C8A-4448-80A3-6F4BB983B6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6-4005-9BD1-DF43066856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90223</xdr:colOff>
      <xdr:row>0</xdr:row>
      <xdr:rowOff>139696</xdr:rowOff>
    </xdr:from>
    <xdr:to>
      <xdr:col>4</xdr:col>
      <xdr:colOff>158750</xdr:colOff>
      <xdr:row>8</xdr:row>
      <xdr:rowOff>159567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817C68E-D035-40DF-AF2C-044A63C81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90223" y="139696"/>
          <a:ext cx="6016360" cy="1543871"/>
        </a:xfrm>
        <a:prstGeom prst="rect">
          <a:avLst/>
        </a:prstGeom>
      </xdr:spPr>
    </xdr:pic>
    <xdr:clientData/>
  </xdr:twoCellAnchor>
  <xdr:twoCellAnchor>
    <xdr:from>
      <xdr:col>0</xdr:col>
      <xdr:colOff>232835</xdr:colOff>
      <xdr:row>43</xdr:row>
      <xdr:rowOff>52915</xdr:rowOff>
    </xdr:from>
    <xdr:to>
      <xdr:col>6</xdr:col>
      <xdr:colOff>148168</xdr:colOff>
      <xdr:row>55</xdr:row>
      <xdr:rowOff>42332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DBDA65-DF59-1541-E876-1D1A28C52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XFD64"/>
  <sheetViews>
    <sheetView showGridLines="0" showRowColHeaders="0" zoomScale="90" zoomScaleNormal="90" workbookViewId="0">
      <selection activeCell="XFD1" sqref="XFD1:XFD1048576"/>
    </sheetView>
  </sheetViews>
  <sheetFormatPr defaultColWidth="2.85546875" defaultRowHeight="15" x14ac:dyDescent="0.25"/>
  <cols>
    <col min="1" max="1" width="5.7109375" customWidth="1"/>
    <col min="2" max="2" width="46.5703125" customWidth="1"/>
    <col min="3" max="3" width="19.42578125" bestFit="1" customWidth="1"/>
    <col min="4" max="4" width="17.5703125" customWidth="1"/>
    <col min="5" max="5" width="3.7109375" customWidth="1"/>
    <col min="6" max="7" width="3.5703125" customWidth="1"/>
    <col min="8" max="9" width="2.85546875" customWidth="1"/>
    <col min="10" max="10" width="0" hidden="1"/>
    <col min="11" max="16383" width="0" hidden="1" customWidth="1"/>
    <col min="16384" max="16384" width="18" hidden="1" customWidth="1"/>
  </cols>
  <sheetData>
    <row r="10" spans="2:6" ht="15.75" thickBot="1" x14ac:dyDescent="0.3"/>
    <row r="11" spans="2:6" ht="24.75" customHeight="1" thickBot="1" x14ac:dyDescent="0.3">
      <c r="B11" s="56" t="s">
        <v>6</v>
      </c>
      <c r="C11" s="57"/>
      <c r="D11" s="58"/>
      <c r="F11" s="5"/>
    </row>
    <row r="12" spans="2:6" ht="17.25" x14ac:dyDescent="0.3">
      <c r="B12" s="46" t="s">
        <v>3</v>
      </c>
      <c r="C12" s="47"/>
      <c r="D12" s="21">
        <v>5800</v>
      </c>
    </row>
    <row r="13" spans="2:6" ht="17.25" x14ac:dyDescent="0.3">
      <c r="B13" s="42" t="s">
        <v>4</v>
      </c>
      <c r="C13" s="43"/>
      <c r="D13" s="22">
        <v>6.0000000000000001E-3</v>
      </c>
    </row>
    <row r="14" spans="2:6" ht="18" thickBot="1" x14ac:dyDescent="0.35">
      <c r="B14" s="44" t="s">
        <v>5</v>
      </c>
      <c r="C14" s="45"/>
      <c r="D14" s="23">
        <f>salario*30%</f>
        <v>1740</v>
      </c>
    </row>
    <row r="15" spans="2:6" ht="15.75" thickBot="1" x14ac:dyDescent="0.3"/>
    <row r="16" spans="2:6" ht="27" thickBot="1" x14ac:dyDescent="0.3">
      <c r="B16" s="59" t="s">
        <v>0</v>
      </c>
      <c r="C16" s="60"/>
      <c r="D16" s="61"/>
    </row>
    <row r="17" spans="1:6" ht="17.25" x14ac:dyDescent="0.3">
      <c r="B17" s="48" t="s">
        <v>20</v>
      </c>
      <c r="C17" s="49"/>
      <c r="D17" s="24">
        <v>800</v>
      </c>
    </row>
    <row r="18" spans="1:6" ht="17.25" x14ac:dyDescent="0.3">
      <c r="B18" s="42" t="s">
        <v>21</v>
      </c>
      <c r="C18" s="43"/>
      <c r="D18" s="25">
        <v>5</v>
      </c>
    </row>
    <row r="19" spans="1:6" ht="18" thickBot="1" x14ac:dyDescent="0.35">
      <c r="B19" s="50" t="s">
        <v>22</v>
      </c>
      <c r="C19" s="51"/>
      <c r="D19" s="26">
        <v>1.0789999999999999E-2</v>
      </c>
    </row>
    <row r="20" spans="1:6" ht="17.25" x14ac:dyDescent="0.3">
      <c r="B20" s="52" t="s">
        <v>23</v>
      </c>
      <c r="C20" s="53"/>
      <c r="D20" s="27">
        <f>FV(taxa_mensal,qtd_anos*12,aporte*-1)</f>
        <v>67021.531198790108</v>
      </c>
    </row>
    <row r="21" spans="1:6" ht="18" thickBot="1" x14ac:dyDescent="0.35">
      <c r="B21" s="54" t="s">
        <v>24</v>
      </c>
      <c r="C21" s="55"/>
      <c r="D21" s="28">
        <f>patrimonio*rendimento_carteira</f>
        <v>402.12918719274063</v>
      </c>
      <c r="E21" s="1"/>
    </row>
    <row r="22" spans="1:6" ht="17.25" thickBot="1" x14ac:dyDescent="0.35">
      <c r="F22" s="6"/>
    </row>
    <row r="23" spans="1:6" ht="27" thickBot="1" x14ac:dyDescent="0.3">
      <c r="B23" s="59" t="s">
        <v>1</v>
      </c>
      <c r="C23" s="60"/>
      <c r="D23" s="62" t="s">
        <v>2</v>
      </c>
    </row>
    <row r="24" spans="1:6" ht="17.25" x14ac:dyDescent="0.3">
      <c r="A24" s="2">
        <v>2</v>
      </c>
      <c r="B24" s="13" t="s">
        <v>25</v>
      </c>
      <c r="C24" s="14">
        <f>FV($D$19,$A24*12,$D$17*-1)</f>
        <v>21782.101838116174</v>
      </c>
      <c r="D24" s="15">
        <f>C24*rendimento_carteira</f>
        <v>130.69261102869706</v>
      </c>
    </row>
    <row r="25" spans="1:6" ht="17.25" x14ac:dyDescent="0.3">
      <c r="A25" s="2">
        <v>5</v>
      </c>
      <c r="B25" s="16" t="s">
        <v>26</v>
      </c>
      <c r="C25" s="17">
        <f>FV($D$19,$A25*12,$D$17*-1)</f>
        <v>67021.531198790108</v>
      </c>
      <c r="D25" s="15">
        <f>C25*rendimento_carteira</f>
        <v>402.12918719274063</v>
      </c>
    </row>
    <row r="26" spans="1:6" ht="17.25" x14ac:dyDescent="0.3">
      <c r="A26" s="2">
        <v>10</v>
      </c>
      <c r="B26" s="16" t="s">
        <v>27</v>
      </c>
      <c r="C26" s="17">
        <f>FV($D$19,$A26*12,$D$17*-1)</f>
        <v>194627.37002413775</v>
      </c>
      <c r="D26" s="15">
        <f>C26*rendimento_carteira</f>
        <v>1167.7642201448266</v>
      </c>
    </row>
    <row r="27" spans="1:6" ht="17.25" x14ac:dyDescent="0.3">
      <c r="A27" s="2">
        <v>20</v>
      </c>
      <c r="B27" s="16" t="s">
        <v>28</v>
      </c>
      <c r="C27" s="17">
        <f>FV($D$19,$A27*12,$D$17*-1)</f>
        <v>900158.72007766447</v>
      </c>
      <c r="D27" s="15">
        <f>C27*rendimento_carteira</f>
        <v>5400.9523204659872</v>
      </c>
    </row>
    <row r="28" spans="1:6" ht="18" thickBot="1" x14ac:dyDescent="0.35">
      <c r="A28" s="2">
        <v>30</v>
      </c>
      <c r="B28" s="18" t="s">
        <v>29</v>
      </c>
      <c r="C28" s="19">
        <f>FV($D$19,$A28*12,$D$17*-1)</f>
        <v>3457735.7240037718</v>
      </c>
      <c r="D28" s="20">
        <f>C28*rendimento_carteira</f>
        <v>20746.414344022633</v>
      </c>
    </row>
    <row r="32" spans="1:6" x14ac:dyDescent="0.25">
      <c r="B32" s="63" t="s">
        <v>10</v>
      </c>
      <c r="C32" s="63" t="s">
        <v>8</v>
      </c>
      <c r="D32" s="63"/>
    </row>
    <row r="33" spans="2:4" x14ac:dyDescent="0.25">
      <c r="B33" s="8" t="s">
        <v>11</v>
      </c>
      <c r="C33" s="10">
        <f>aporte</f>
        <v>800</v>
      </c>
      <c r="D33" s="9"/>
    </row>
    <row r="35" spans="2:4" x14ac:dyDescent="0.25">
      <c r="B35" s="11" t="s">
        <v>30</v>
      </c>
      <c r="C35" s="11" t="s">
        <v>18</v>
      </c>
      <c r="D35" s="11" t="s">
        <v>19</v>
      </c>
    </row>
    <row r="36" spans="2:4" x14ac:dyDescent="0.25">
      <c r="B36" s="12" t="s">
        <v>12</v>
      </c>
      <c r="C36" s="4">
        <f>VLOOKUP($C$32&amp;"-"&amp;B36,DATABASE!$C:$F,4,FALSE)</f>
        <v>0.5</v>
      </c>
      <c r="D36" s="32">
        <f>C36*$C$33</f>
        <v>400</v>
      </c>
    </row>
    <row r="37" spans="2:4" x14ac:dyDescent="0.25">
      <c r="B37" s="12" t="s">
        <v>13</v>
      </c>
      <c r="C37" s="4">
        <f>VLOOKUP($C$32&amp;"-"&amp;B37,DATABASE!$C:$F,4,FALSE)</f>
        <v>0.1</v>
      </c>
      <c r="D37" s="32">
        <f>C37*$C$33</f>
        <v>80</v>
      </c>
    </row>
    <row r="38" spans="2:4" x14ac:dyDescent="0.25">
      <c r="B38" s="12" t="s">
        <v>14</v>
      </c>
      <c r="C38" s="4">
        <f>VLOOKUP($C$32&amp;"-"&amp;B38,DATABASE!$C:$F,4,FALSE)</f>
        <v>0.05</v>
      </c>
      <c r="D38" s="32">
        <f t="shared" ref="D38:D41" si="0">C38*$C$33</f>
        <v>40</v>
      </c>
    </row>
    <row r="39" spans="2:4" x14ac:dyDescent="0.25">
      <c r="B39" s="12" t="s">
        <v>15</v>
      </c>
      <c r="C39" s="4">
        <f>VLOOKUP($C$32&amp;"-"&amp;B39,DATABASE!$C:$F,4,FALSE)</f>
        <v>0.05</v>
      </c>
      <c r="D39" s="32">
        <f t="shared" si="0"/>
        <v>40</v>
      </c>
    </row>
    <row r="40" spans="2:4" x14ac:dyDescent="0.25">
      <c r="B40" s="12" t="s">
        <v>16</v>
      </c>
      <c r="C40" s="4">
        <f>VLOOKUP($C$32&amp;"-"&amp;B40,DATABASE!$C:$F,4,FALSE)</f>
        <v>0.2</v>
      </c>
      <c r="D40" s="32">
        <f t="shared" si="0"/>
        <v>160</v>
      </c>
    </row>
    <row r="41" spans="2:4" x14ac:dyDescent="0.25">
      <c r="B41" s="12" t="s">
        <v>17</v>
      </c>
      <c r="C41" s="4">
        <f>VLOOKUP($C$32&amp;"-"&amp;B41,DATABASE!$C:$F,4,FALSE)</f>
        <v>0.1</v>
      </c>
      <c r="D41" s="32">
        <f t="shared" si="0"/>
        <v>80</v>
      </c>
    </row>
    <row r="42" spans="2:4" x14ac:dyDescent="0.25">
      <c r="B42" s="11"/>
      <c r="C42" s="11"/>
      <c r="D42" s="30">
        <f>SUM(D36:D41)</f>
        <v>800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11">
    <mergeCell ref="B23:C23"/>
    <mergeCell ref="B17:C17"/>
    <mergeCell ref="B18:C18"/>
    <mergeCell ref="B19:C19"/>
    <mergeCell ref="B20:C20"/>
    <mergeCell ref="B21:C21"/>
    <mergeCell ref="B13:C13"/>
    <mergeCell ref="B14:C14"/>
    <mergeCell ref="B11:C11"/>
    <mergeCell ref="B12:C12"/>
    <mergeCell ref="B16:C16"/>
  </mergeCells>
  <dataValidations count="1">
    <dataValidation type="list" allowBlank="1" showInputMessage="1" showErrorMessage="1" sqref="C32" xr:uid="{7C5EB11D-C64C-4D0A-BF53-BE568F6661DD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AE9D-6C55-4E6F-95B9-3100BB27140E}">
  <dimension ref="C2:I20"/>
  <sheetViews>
    <sheetView showGridLines="0" showRowColHeaders="0" tabSelected="1" workbookViewId="0">
      <selection activeCell="K1" sqref="K1:XFD1048576"/>
    </sheetView>
  </sheetViews>
  <sheetFormatPr defaultColWidth="0" defaultRowHeight="15" x14ac:dyDescent="0.25"/>
  <cols>
    <col min="1" max="2" width="9.140625" customWidth="1"/>
    <col min="3" max="3" width="31.28515625" bestFit="1" customWidth="1"/>
    <col min="4" max="4" width="12.140625" bestFit="1" customWidth="1"/>
    <col min="5" max="5" width="18.5703125" bestFit="1" customWidth="1"/>
    <col min="6" max="6" width="9.140625" style="3" customWidth="1"/>
    <col min="7" max="7" width="9.140625" customWidth="1"/>
    <col min="8" max="8" width="17" bestFit="1" customWidth="1"/>
    <col min="9" max="9" width="9.7109375" customWidth="1"/>
    <col min="10" max="10" width="9.140625" customWidth="1"/>
    <col min="11" max="16384" width="9.140625" hidden="1"/>
  </cols>
  <sheetData>
    <row r="2" spans="3:9" x14ac:dyDescent="0.25">
      <c r="C2" s="31" t="s">
        <v>32</v>
      </c>
      <c r="D2" s="31" t="s">
        <v>10</v>
      </c>
      <c r="E2" s="31" t="s">
        <v>30</v>
      </c>
      <c r="F2" s="36" t="s">
        <v>31</v>
      </c>
      <c r="H2" s="7" t="s">
        <v>33</v>
      </c>
      <c r="I2" s="41">
        <f>VLOOKUP(H2,$C:$F,4,FALSE)</f>
        <v>0.35</v>
      </c>
    </row>
    <row r="3" spans="3:9" x14ac:dyDescent="0.25">
      <c r="C3" t="str">
        <f>D3&amp;"-"&amp;E3</f>
        <v>Conservador-PAPEL</v>
      </c>
      <c r="D3" t="s">
        <v>7</v>
      </c>
      <c r="E3" s="12" t="s">
        <v>12</v>
      </c>
      <c r="F3" s="4">
        <v>0.3</v>
      </c>
    </row>
    <row r="4" spans="3:9" x14ac:dyDescent="0.25">
      <c r="C4" t="str">
        <f t="shared" ref="C4:C20" si="0">D4&amp;"-"&amp;E4</f>
        <v>Conservador-TIJOLO</v>
      </c>
      <c r="D4" t="s">
        <v>7</v>
      </c>
      <c r="E4" s="12" t="s">
        <v>13</v>
      </c>
      <c r="F4" s="29">
        <v>0.5</v>
      </c>
    </row>
    <row r="5" spans="3:9" x14ac:dyDescent="0.25">
      <c r="C5" t="str">
        <f t="shared" si="0"/>
        <v>Conservador-HÍBRIDOS</v>
      </c>
      <c r="D5" t="s">
        <v>7</v>
      </c>
      <c r="E5" s="12" t="s">
        <v>14</v>
      </c>
      <c r="F5" s="29">
        <v>0.1</v>
      </c>
    </row>
    <row r="6" spans="3:9" x14ac:dyDescent="0.25">
      <c r="C6" t="str">
        <f t="shared" si="0"/>
        <v>Conservador-FOFs</v>
      </c>
      <c r="D6" t="s">
        <v>7</v>
      </c>
      <c r="E6" s="12" t="s">
        <v>15</v>
      </c>
      <c r="F6" s="29">
        <v>0.1</v>
      </c>
    </row>
    <row r="7" spans="3:9" x14ac:dyDescent="0.25">
      <c r="C7" t="str">
        <f t="shared" si="0"/>
        <v>Conservador-DESENVOLVIMENTO</v>
      </c>
      <c r="D7" t="s">
        <v>7</v>
      </c>
      <c r="E7" s="12" t="s">
        <v>16</v>
      </c>
      <c r="F7" s="29">
        <v>0</v>
      </c>
    </row>
    <row r="8" spans="3:9" ht="15.75" thickBot="1" x14ac:dyDescent="0.3">
      <c r="C8" s="33" t="str">
        <f t="shared" si="0"/>
        <v>Conservador-HOTELARIAS</v>
      </c>
      <c r="D8" s="33" t="s">
        <v>7</v>
      </c>
      <c r="E8" s="34" t="s">
        <v>17</v>
      </c>
      <c r="F8" s="35">
        <v>0</v>
      </c>
    </row>
    <row r="9" spans="3:9" x14ac:dyDescent="0.25">
      <c r="C9" t="str">
        <f t="shared" si="0"/>
        <v>Moderado-PAPEL</v>
      </c>
      <c r="D9" t="s">
        <v>9</v>
      </c>
      <c r="E9" s="12" t="s">
        <v>12</v>
      </c>
      <c r="F9" s="4">
        <v>0.32</v>
      </c>
    </row>
    <row r="10" spans="3:9" x14ac:dyDescent="0.25">
      <c r="C10" s="38" t="str">
        <f>D10&amp;"-"&amp;E10</f>
        <v>Moderado-TIJOLO</v>
      </c>
      <c r="D10" s="38" t="s">
        <v>9</v>
      </c>
      <c r="E10" s="39" t="s">
        <v>13</v>
      </c>
      <c r="F10" s="40">
        <v>0.35</v>
      </c>
    </row>
    <row r="11" spans="3:9" x14ac:dyDescent="0.25">
      <c r="C11" t="str">
        <f t="shared" si="0"/>
        <v>Moderado-HÍBRIDOS</v>
      </c>
      <c r="D11" t="s">
        <v>9</v>
      </c>
      <c r="E11" s="12" t="s">
        <v>14</v>
      </c>
      <c r="F11" s="4">
        <v>0.08</v>
      </c>
    </row>
    <row r="12" spans="3:9" x14ac:dyDescent="0.25">
      <c r="C12" t="str">
        <f t="shared" si="0"/>
        <v>Moderado-FOFs</v>
      </c>
      <c r="D12" t="s">
        <v>9</v>
      </c>
      <c r="E12" s="12" t="s">
        <v>15</v>
      </c>
      <c r="F12" s="4">
        <v>0.05</v>
      </c>
    </row>
    <row r="13" spans="3:9" x14ac:dyDescent="0.25">
      <c r="C13" t="str">
        <f t="shared" si="0"/>
        <v>Moderado-DESENVOLVIMENTO</v>
      </c>
      <c r="D13" t="s">
        <v>9</v>
      </c>
      <c r="E13" s="12" t="s">
        <v>16</v>
      </c>
      <c r="F13" s="4">
        <v>0.1</v>
      </c>
    </row>
    <row r="14" spans="3:9" ht="15.75" thickBot="1" x14ac:dyDescent="0.3">
      <c r="C14" s="33" t="str">
        <f t="shared" si="0"/>
        <v>Moderado-HOTELARIAS</v>
      </c>
      <c r="D14" s="33" t="s">
        <v>9</v>
      </c>
      <c r="E14" s="34" t="s">
        <v>17</v>
      </c>
      <c r="F14" s="37">
        <v>0.1</v>
      </c>
    </row>
    <row r="15" spans="3:9" x14ac:dyDescent="0.25">
      <c r="C15" t="str">
        <f t="shared" si="0"/>
        <v>Agressivo-PAPEL</v>
      </c>
      <c r="D15" t="s">
        <v>8</v>
      </c>
      <c r="E15" s="12" t="s">
        <v>12</v>
      </c>
      <c r="F15" s="4">
        <v>0.5</v>
      </c>
    </row>
    <row r="16" spans="3:9" x14ac:dyDescent="0.25">
      <c r="C16" t="str">
        <f t="shared" si="0"/>
        <v>Agressivo-TIJOLO</v>
      </c>
      <c r="D16" t="s">
        <v>8</v>
      </c>
      <c r="E16" s="12" t="s">
        <v>13</v>
      </c>
      <c r="F16" s="4">
        <v>0.1</v>
      </c>
    </row>
    <row r="17" spans="3:6" x14ac:dyDescent="0.25">
      <c r="C17" t="str">
        <f t="shared" si="0"/>
        <v>Agressivo-HÍBRIDOS</v>
      </c>
      <c r="D17" t="s">
        <v>8</v>
      </c>
      <c r="E17" s="12" t="s">
        <v>14</v>
      </c>
      <c r="F17" s="4">
        <v>0.05</v>
      </c>
    </row>
    <row r="18" spans="3:6" x14ac:dyDescent="0.25">
      <c r="C18" t="str">
        <f t="shared" si="0"/>
        <v>Agressivo-FOFs</v>
      </c>
      <c r="D18" t="s">
        <v>8</v>
      </c>
      <c r="E18" s="12" t="s">
        <v>15</v>
      </c>
      <c r="F18" s="4">
        <v>0.05</v>
      </c>
    </row>
    <row r="19" spans="3:6" x14ac:dyDescent="0.25">
      <c r="C19" t="str">
        <f t="shared" si="0"/>
        <v>Agressivo-DESENVOLVIMENTO</v>
      </c>
      <c r="D19" t="s">
        <v>8</v>
      </c>
      <c r="E19" s="12" t="s">
        <v>16</v>
      </c>
      <c r="F19" s="4">
        <v>0.2</v>
      </c>
    </row>
    <row r="20" spans="3:6" x14ac:dyDescent="0.25">
      <c r="C20" t="str">
        <f t="shared" si="0"/>
        <v>Agressivo-HOTELARIAS</v>
      </c>
      <c r="D20" t="s">
        <v>8</v>
      </c>
      <c r="E20" s="12" t="s">
        <v>17</v>
      </c>
      <c r="F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DATABASE</vt:lpstr>
      <vt:lpstr>aporte</vt:lpstr>
      <vt:lpstr>dividendo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Costa</dc:creator>
  <cp:lastModifiedBy>GABRIELLA COSTA ALVES</cp:lastModifiedBy>
  <dcterms:created xsi:type="dcterms:W3CDTF">2015-06-05T18:17:20Z</dcterms:created>
  <dcterms:modified xsi:type="dcterms:W3CDTF">2026-01-16T05:19:39Z</dcterms:modified>
</cp:coreProperties>
</file>